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HANH HANG\Downloads\"/>
    </mc:Choice>
  </mc:AlternateContent>
  <xr:revisionPtr revIDLastSave="0" documentId="13_ncr:1_{7F74CE4C-E24F-4015-BCA1-CB6F1A74E0A3}" xr6:coauthVersionLast="47" xr6:coauthVersionMax="47" xr10:uidLastSave="{00000000-0000-0000-0000-000000000000}"/>
  <bookViews>
    <workbookView xWindow="-108" yWindow="-108" windowWidth="23256" windowHeight="12456" activeTab="3" xr2:uid="{58E8D151-7B76-402E-9873-DEB9E654F8C1}"/>
  </bookViews>
  <sheets>
    <sheet name="Test Scenerio" sheetId="1" r:id="rId1"/>
    <sheet name="Bug" sheetId="2" r:id="rId2"/>
    <sheet name="Test case" sheetId="3" r:id="rId3"/>
    <sheet name="Sheet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C5" i="3"/>
  <c r="A5" i="3"/>
  <c r="E5" i="3" l="1"/>
</calcChain>
</file>

<file path=xl/sharedStrings.xml><?xml version="1.0" encoding="utf-8"?>
<sst xmlns="http://schemas.openxmlformats.org/spreadsheetml/2006/main" count="336" uniqueCount="235">
  <si>
    <t>No</t>
  </si>
  <si>
    <t>Test scenarios</t>
  </si>
  <si>
    <t>Steps</t>
  </si>
  <si>
    <t>Expected</t>
  </si>
  <si>
    <t>Actual</t>
  </si>
  <si>
    <t>Chat with AI Avatar</t>
  </si>
  <si>
    <t>Basic chat</t>
  </si>
  <si>
    <t>Open chat screen</t>
  </si>
  <si>
    <t>1. Login success with a valid account
2. Home screen: press icon chat
3. Check dialog screen</t>
  </si>
  <si>
    <t>- Open chat screen
- Show the previsous dialog</t>
  </si>
  <si>
    <t>AI replies naturally within 1-2s</t>
  </si>
  <si>
    <t>1. Login success with a valid account
2. Home screen: press icon chat
3. Check UI of chat screen</t>
  </si>
  <si>
    <t>UI simular to design</t>
  </si>
  <si>
    <t>UI of chat screen</t>
  </si>
  <si>
    <t>Context retention</t>
  </si>
  <si>
    <t>AI remembers last question</t>
  </si>
  <si>
    <t>Multi-language</t>
  </si>
  <si>
    <t>Response can only support English and Japanese in many different ways.</t>
  </si>
  <si>
    <t>Validate chat text area</t>
  </si>
  <si>
    <t>- Accept text, number, emoji, special characters, line break
- Limit characters: according to customer requirements</t>
  </si>
  <si>
    <t>Check response time</t>
  </si>
  <si>
    <t>Some times don't reply right away.</t>
  </si>
  <si>
    <t>- Can send text, number, emoji, special characters, line break
- Can input long text in text area but after send, the dialog don’t show full text was typed</t>
  </si>
  <si>
    <t>AI Call Feature (Paid)</t>
  </si>
  <si>
    <t>Long time no talk</t>
  </si>
  <si>
    <t>AI texted some interested questions, asking if you were there</t>
  </si>
  <si>
    <t>Initiate AI Call Successfully</t>
  </si>
  <si>
    <t>Microphone permissions</t>
  </si>
  <si>
    <t>1. Log in using test account
2. Select an AI avatar
3. Tap “Call” button
4. Check microphone permissions</t>
  </si>
  <si>
    <t>- Show popup asking for microphone permission in the first time
- If the first time is not allowed, the next time the popup asking for permission will be shown again.</t>
  </si>
  <si>
    <t>As expected</t>
  </si>
  <si>
    <t xml:space="preserve">- Answer the questions correctly, replied promptly, friendly tone, continue the story naturally
- While answering show icon … </t>
  </si>
  <si>
    <t>- AI call connects and avatar starts speaking
- Call connection time is fast</t>
  </si>
  <si>
    <t>Call connection time is slow. Sometimes more than 30 seconds</t>
  </si>
  <si>
    <t>AI Voice Quality</t>
  </si>
  <si>
    <t>Clear voice, human-like response, minimal delay</t>
  </si>
  <si>
    <t>1. Revoke microphone access in system settings
2. Reopen Castalk and attempt AI call</t>
  </si>
  <si>
    <t>App blocks call, displays permission warning</t>
  </si>
  <si>
    <t>Microphone Denied</t>
  </si>
  <si>
    <t>UI of call screens</t>
  </si>
  <si>
    <t>1. Log in using test account
2. Select an AI avatar
3. Tap “Call” button
4. Allow microphone permissions when prompted
5. Check UI of call screens</t>
  </si>
  <si>
    <t>- Show calling screen when AI hasnot picked up yet
- Show AI talking after pickup naturally</t>
  </si>
  <si>
    <t>AI images talking are not very natural</t>
  </si>
  <si>
    <t>AI Call After Network Loss</t>
  </si>
  <si>
    <t>1. Start an AI call
2. Midway through, disable Wi-Fi or mobile data
3. Observe AI and app behavior</t>
  </si>
  <si>
    <t>1. Start an AI call
2. Speak simple phrases
3. Wait for AI response
4. Test latency and naturalness of AI reply</t>
  </si>
  <si>
    <t>Call Termination</t>
  </si>
  <si>
    <t>App detects network loss. Stop conversation and show alert "Please check your internet connection"</t>
  </si>
  <si>
    <t>Allows mic to be turned on and off</t>
  </si>
  <si>
    <t>Show or ushow Closed Caption of the conversation</t>
  </si>
  <si>
    <t>1. Login success with a valid account
2. Home screen: press icon chat
3. Chat screen: Type the basic conversation
4. Send
5. Observe AI replies</t>
  </si>
  <si>
    <t>1. Login success with a valid account
2. Home screen: press icon chat
3. Chat screen: Send messages
4. Observe AI response time</t>
  </si>
  <si>
    <t>1. Login success with a valid account
2. Home screen: press icon chat
3. Chat screen: Type information that AI needs to remember
4. Send
5. After a period of time, ask for the above information again.
6. Observe AI replies</t>
  </si>
  <si>
    <t>1. Long time no talk
2. Login success with a valid account
3. Home screen: press icon chat
4. Chat screen: Observe AI replies</t>
  </si>
  <si>
    <t>1. Login success with a valid account
2. Home screen: press icon chat
3. Chat screen: Send message in other language except English and Japanese
4. Observe  AI replies</t>
  </si>
  <si>
    <t>1. Log in using test account
2. Select an AI avatar
3. Tap “Call” button
4. Allow microphone permissions when prompted
5. Observe AI Call Successfully</t>
  </si>
  <si>
    <t>Voice Clarity with Background Noise</t>
  </si>
  <si>
    <t>AI either understands correctly or politely asks for repetition; doesn’t misinterpret severely</t>
  </si>
  <si>
    <t>- Show alert "Please check your internet connection"
- Sometimes the app freezes when reconnecting to network</t>
  </si>
  <si>
    <t>Test Case ID</t>
  </si>
  <si>
    <t>Title</t>
  </si>
  <si>
    <t>Precondition</t>
  </si>
  <si>
    <t>Expected Result</t>
  </si>
  <si>
    <t>Testing purpose</t>
  </si>
  <si>
    <t>AI_CALL_001</t>
  </si>
  <si>
    <t>Verify AI Call feature is accessible for paid users</t>
  </si>
  <si>
    <t>AI_CALL_002</t>
  </si>
  <si>
    <t>Verify AI Call feature is not accessible for free users</t>
  </si>
  <si>
    <t>AI_CALL_003</t>
  </si>
  <si>
    <t>AI_CALL_004</t>
  </si>
  <si>
    <t>Verify AI Call ends properly when user hangs up</t>
  </si>
  <si>
    <t>AI_CALL_005</t>
  </si>
  <si>
    <t>Verify system handles network loss during AI Call</t>
  </si>
  <si>
    <t>AI_CALL_006</t>
  </si>
  <si>
    <t>AI_CALL_007</t>
  </si>
  <si>
    <t>AI_CALL_008</t>
  </si>
  <si>
    <t>AI_CALL_009</t>
  </si>
  <si>
    <t>AI_CALL_010</t>
  </si>
  <si>
    <t>AI_CALL_011</t>
  </si>
  <si>
    <t>AI_CALL_012</t>
  </si>
  <si>
    <t>Verify AI Call works in background mode</t>
  </si>
  <si>
    <t>AI_CALL_013</t>
  </si>
  <si>
    <t>AI_CALL_014</t>
  </si>
  <si>
    <t>AI_CALL_015</t>
  </si>
  <si>
    <t>Verify maximum call duration limit</t>
  </si>
  <si>
    <t>User has an active paid subscription</t>
  </si>
  <si>
    <t>AI Call option is available and can be initiated successfully</t>
  </si>
  <si>
    <t>User has a free account</t>
  </si>
  <si>
    <t>1. Start AI Call
2. Disconnect network
3. Observe behavior</t>
  </si>
  <si>
    <t>Verify UI of call screens</t>
  </si>
  <si>
    <t>Prompts upgrade to paid plan</t>
  </si>
  <si>
    <t>Verify Initiate AI Call Successfully</t>
  </si>
  <si>
    <t>1. Log in with a paid subscription account
2. Select an AI avatar
3. Tap “Call” button
4. Check UI of call screens</t>
  </si>
  <si>
    <t>1. Log in with a paid subscription account
2. Select an AI avatar
3. Tap “Call” icon
4. Observe</t>
  </si>
  <si>
    <t>Verify the system handles network loss then reconnects the network in AI call</t>
  </si>
  <si>
    <t>1. Start AI Call
2. Disconnect network
3. Reconnect network
4. Observe behavior</t>
  </si>
  <si>
    <t>- Alert "Please check your internet connection" disappears
- The AI call contunues normally</t>
  </si>
  <si>
    <t>Call terminates immediately, returns to previous screen smoothly</t>
  </si>
  <si>
    <t>AI Call continues in background</t>
  </si>
  <si>
    <t>1. Login with a paid account
2. Select an AI avatar
3. Tap “Call” icon
4. Observe connection</t>
  </si>
  <si>
    <t>Verify microphone function</t>
  </si>
  <si>
    <t>Verify cc function</t>
  </si>
  <si>
    <t>1. Login with a paid account
2. Select an AI avatar
3. Tap “Call” icon: Start an AI call
4. Click "End" icon
5. Observe call termination</t>
  </si>
  <si>
    <t>1. Login with a paid account
2. Select an AI avatar
3. Tap “Call” icon: Start an AI call
4. Click "Microphone" icon
5. Observe call termination</t>
  </si>
  <si>
    <t>1. Login with a paid account
2. Select an AI avatar
3. Tap “Call” icon: Start an AI call
4. Click "cc" icon
5. Observe call termination</t>
  </si>
  <si>
    <t>System ends call at maximum duration and back to home screen</t>
  </si>
  <si>
    <t>1. Start AI Call
2. Continue until maximum allowed duration
3. Observe call termination</t>
  </si>
  <si>
    <t>Verify microphone permissions</t>
  </si>
  <si>
    <t>1. Login with a paid account
2. Select an AI avatar
3. Tap “Call” button
4. Check microphone permissions</t>
  </si>
  <si>
    <t>1. Login with a free account
2. Select an AI avatar
3. Tap “Call” icon
4. Observe</t>
  </si>
  <si>
    <t>- Show popup asking for microphone permission in the first time using app
- If the first time is not allowed, the next time the popup asking for permission will be shown again.</t>
  </si>
  <si>
    <t>Verify AI Voice Quality</t>
  </si>
  <si>
    <t>1. Start AI Call
2. Minimize app
3. Continue conversation
4. Observe</t>
  </si>
  <si>
    <t>1. Start an AI call
2. Speak simple phrases
3. Wait for AI response
4. Observe latency and naturalness of AI reply</t>
  </si>
  <si>
    <t>Login with a paid account</t>
  </si>
  <si>
    <t>Verify voice Clarity with Background Noise</t>
  </si>
  <si>
    <t>Data test</t>
  </si>
  <si>
    <t>Say "How are you today?"</t>
  </si>
  <si>
    <t>Background noise: music playing</t>
  </si>
  <si>
    <t>1. Start an AI call
2. Speak to the AI with background noise present 
3. Observe if AI responds meaningfully</t>
  </si>
  <si>
    <t>1. Start an AI call
2. Speak to the AI with background noise present
3. Observe if AI responds meaningfully</t>
  </si>
  <si>
    <t>CHAT_AI_001</t>
  </si>
  <si>
    <t>CHAT_AI_002</t>
  </si>
  <si>
    <t>CHAT_AI_003</t>
  </si>
  <si>
    <t>CHAT_AI_004</t>
  </si>
  <si>
    <t>CHAT_AI_005</t>
  </si>
  <si>
    <t>CHAT_AI_006</t>
  </si>
  <si>
    <t>CHAT_AI_007</t>
  </si>
  <si>
    <t>CHAT_AI_008</t>
  </si>
  <si>
    <t>CHAT_AI_009</t>
  </si>
  <si>
    <t>CHAT_AI_010</t>
  </si>
  <si>
    <t>CHAT_AI_011</t>
  </si>
  <si>
    <t>CHAT_AI_012</t>
  </si>
  <si>
    <t>CHAT_AI_013</t>
  </si>
  <si>
    <t>CHAT_AI_014</t>
  </si>
  <si>
    <t>1. Login with a valid account
2. Home screen: press icon chat
3. Check UI of chat screen</t>
  </si>
  <si>
    <t>Open app</t>
  </si>
  <si>
    <t>1. Start AI Avatar chat
2. Input lowercase characters in chat text area
3. Send</t>
  </si>
  <si>
    <t>Allows typing and sending lowercase messages</t>
  </si>
  <si>
    <t>Lowercase characters</t>
  </si>
  <si>
    <t>Upercase characters</t>
  </si>
  <si>
    <t>1. Start AI Avatar chat
2. Input Upercase characters in chat text area
3. Send</t>
  </si>
  <si>
    <t>Allows typing and sending Upercase messages</t>
  </si>
  <si>
    <t>Number characters</t>
  </si>
  <si>
    <t>1. Start AI Avatar chat
2. Input Number characters in chat text area
3. Send</t>
  </si>
  <si>
    <t>Allows typing and sending Number messages</t>
  </si>
  <si>
    <t>Special characters</t>
  </si>
  <si>
    <t>1. Start AI Avatar chat
2. Input Special characters in chat text area
3. Send</t>
  </si>
  <si>
    <t>Allows typing and sending Special messages</t>
  </si>
  <si>
    <t xml:space="preserve">Emoji </t>
  </si>
  <si>
    <t>1. Start AI Avatar chat
2. Input emoji in chat text area
3. Send</t>
  </si>
  <si>
    <t>Allows typing and sending emoji messages</t>
  </si>
  <si>
    <t xml:space="preserve">Non-English characters </t>
  </si>
  <si>
    <t>1. Start AI Avatar chat
2. Input Non-English  characters in chat text area
3. Send</t>
  </si>
  <si>
    <t>Allows typing and sending Non-English  messages</t>
  </si>
  <si>
    <t>Line break</t>
  </si>
  <si>
    <t>1. Start AI Avatar chat
2. Input Line break in chat text area
3. Send</t>
  </si>
  <si>
    <t>Allows typing and sending Line break messages</t>
  </si>
  <si>
    <t>Limit characters</t>
  </si>
  <si>
    <t>abc</t>
  </si>
  <si>
    <t>ABC</t>
  </si>
  <si>
    <t>)*&amp;</t>
  </si>
  <si>
    <t>Abc
123
hello</t>
  </si>
  <si>
    <t>1. Start AI Avatar chat
2. Input long massage
3. Send</t>
  </si>
  <si>
    <t>Limit characters: according to customer requirements</t>
  </si>
  <si>
    <t>Chat with no network connection</t>
  </si>
  <si>
    <t>1. Open chat screen
2. Midway through, disable Wi-Fi or mobile data
3. Observe</t>
  </si>
  <si>
    <t>Verify opening chat screen</t>
  </si>
  <si>
    <t>1. Login successfully
2. Home screen: press icon chat
3. Observe</t>
  </si>
  <si>
    <t>Type "How are you today?"</t>
  </si>
  <si>
    <t>Verify Basic chat</t>
  </si>
  <si>
    <t>Verify response time</t>
  </si>
  <si>
    <t>Verify Context retention</t>
  </si>
  <si>
    <t>Verify Long time no talk</t>
  </si>
  <si>
    <t>Verify Chat with no network connection</t>
  </si>
  <si>
    <t>Verify Multi-language</t>
  </si>
  <si>
    <t>CHAT_AI_015</t>
  </si>
  <si>
    <t>CHAT_AI_016</t>
  </si>
  <si>
    <t xml:space="preserve">No </t>
  </si>
  <si>
    <t>Bug title</t>
  </si>
  <si>
    <t>Image</t>
  </si>
  <si>
    <t>1. Open app
2. Home screen: press icon chat
3. Chat screen: input long massages
4. Send</t>
  </si>
  <si>
    <t>Limit the number of characters that can be entered into the chat text area</t>
  </si>
  <si>
    <t>Can input long text in text area but after send, the dialog doesn’t show all entered text</t>
  </si>
  <si>
    <t>[Chat] Do not limit characters in chat text area</t>
  </si>
  <si>
    <t>1. Open app
2. Home screen: press icon chat
3. Chat screen: user send massages
4. Observes AI replies</t>
  </si>
  <si>
    <t>[Call] App freezes when reconnect network</t>
  </si>
  <si>
    <t>1. Open app (login with a paid account)
2. Home screen: press icon call
2. Disconnect network
3. Reconnect network
4. Observe behavior</t>
  </si>
  <si>
    <t>- Alert "Please check your internet connection" disappears
- The AI call continues normally</t>
  </si>
  <si>
    <t>Only AI image is displayed, all functions on the call screen disappear. Cannot return to previous screen or end the call</t>
  </si>
  <si>
    <t>Result</t>
  </si>
  <si>
    <t>Pass</t>
  </si>
  <si>
    <t>Fail</t>
  </si>
  <si>
    <t>Module Name</t>
  </si>
  <si>
    <t>Pending</t>
  </si>
  <si>
    <t>Total</t>
  </si>
  <si>
    <t>Chat &amp; Call</t>
  </si>
  <si>
    <t>A. Manual Test</t>
  </si>
  <si>
    <t>Together with AI</t>
  </si>
  <si>
    <t>UI of togther with AI screens</t>
  </si>
  <si>
    <t>1. Open Castalk app and log in with valid credentials.
2. Navigate to the Together with AI feature.
3. Check Together screens</t>
  </si>
  <si>
    <t>Launch Together with AI session</t>
  </si>
  <si>
    <t>1. Open Castalk app and log in with valid credentials.
2. Navigate to the Together with AI feature.
3. Start a new session with an AI character
4. Observe whether the AI joins successfully.</t>
  </si>
  <si>
    <t>Real-time interaction (voice/text)</t>
  </si>
  <si>
    <t>1. Open Castalk app and log in with valid credentials.
2. Navigate to the Together with AI feature.
3. Start a new session with an AI character
4. Talk with AI
5. Check the flow of conversation to ensure context is maintained.</t>
  </si>
  <si>
    <t>Network stability</t>
  </si>
  <si>
    <t>1. Open Castalk app and log in with valid credentials.
2. Navigate to the Together with AI feature.
3. Start a new session with an AI character
4. Midway through, disable Wi-Fi or mobile data
5. Check if the AI session reconnects smoothly or resumes from last state.</t>
  </si>
  <si>
    <t>1. Login success with a valid account
2. Home screen: press icon chat
3. Chat screen: Send message by text, number, emoji, special characters, line break, validate limit characters
4. Check validate</t>
  </si>
  <si>
    <t>1. Login success with a valid account
2. Home screen: press icon chat
3. Chat screen: Send messages
4. Verify that the AI responds within a reasonable time (≤3 seconds for text)</t>
  </si>
  <si>
    <t>[Chat] Al replies very slowly</t>
  </si>
  <si>
    <t>- AI replies slowly 
- AI has replied but there is still a typing icon displayed above the replied messages</t>
  </si>
  <si>
    <t>Speed up AI replies</t>
  </si>
  <si>
    <t>1. Login success with a valid account
2. Home screen: press icon chat
3. Chat screen: Type information that AI needs to remember
4. Send
5. After a period of time, ask for the above information again.
6. Check the flow of conversation to ensure context is maintained.</t>
  </si>
  <si>
    <t>1. Login success with a valid account
2. Home screen: press icon chat
3. Chat screen: Type the basic conversation
4. Send
5. Check AI replies</t>
  </si>
  <si>
    <t>1. Open chat screen
2. Midway through, disable Wi-Fi or mobile data
3. Check notification to user about network connection issue</t>
  </si>
  <si>
    <t>1. Revoke microphone access in system settings
2. Reopen Castalk and attempt AI call
3. Verify if app shows warning or not</t>
  </si>
  <si>
    <t>1. Start an AI call
2. Wait for AI to start speaking
3. Tap “End” button
4. Check the call ends</t>
  </si>
  <si>
    <t>End together with AI session</t>
  </si>
  <si>
    <t>1. Open Castalk app and log in with valid credentials.
2. Navigate to the Together with AI feature.
3. Start a new session with an AI character
4. Press end button
5. Check the call ends</t>
  </si>
  <si>
    <t>Rejoin session</t>
  </si>
  <si>
    <t>1. Open Castalk app and log in with valid credentials.
2. Navigate to the Together with AI feature.
3. Start a new session with an AI character
4. Exit the AI session intentionally.
5. Rejoin and verify that the AI still remembers some recent context or clearly restarts a new conversation.</t>
  </si>
  <si>
    <t>AI joins successfully without errors</t>
  </si>
  <si>
    <t>AI responds within expected time &amp; context maintained</t>
  </si>
  <si>
    <t>Session reconnects without crash, AI continues smoothly</t>
  </si>
  <si>
    <t>Session froze for ~10s before reconnect</t>
  </si>
  <si>
    <t>Able to rejoin session, context handled gracefully</t>
  </si>
  <si>
    <t>Charge coin</t>
  </si>
  <si>
    <t>1. Open Castalk app and log in with valid credentials.
2. Navigate to the Together with AI feature.
3. Don’t have enough coin.
4. Verify charge coin request</t>
  </si>
  <si>
    <t>Show charge coin popup, user must charge coin to continue using together with AI function</t>
  </si>
  <si>
    <t>A.1. 3 functional modules:
- Chat with AI avatar
- AI Call feature (paid)
- Together with AI</t>
  </si>
  <si>
    <t>A.2. Test scenarios</t>
  </si>
  <si>
    <t>A.2. Bug</t>
  </si>
  <si>
    <t>A. 3. Testcase</t>
  </si>
  <si>
    <t>B. Automation Test</t>
  </si>
  <si>
    <t>The steps I handle testing the interaction with the AI chatting
1.	Open chat: 
1.1.	Wait the chat icon is clickable, then click to the chat icon
1.2.	Verify chat screen displays
2.	Send massages
2.1.	Wait chat textbox is visible, then send keys to chat textbox
2.2.	Add all elements of AI replies into ListElement
2.3.	Verify size of ListElement &gt; 0
3.	Close chat:
3.1.	Wait the back icon is clickable, then click to the chat icon
3.2.	Verify home screen displays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</si>
</sst>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ＭＳ Ｐゴシック"/>
      <family val="3"/>
      <charset val="128"/>
    </font>
    <font>
      <b/>
      <sz val="10"/>
      <name val="Times New Roman"/>
      <family val="1"/>
    </font>
    <font>
      <b/>
      <sz val="10"/>
      <color rgb="FFFF0000"/>
      <name val="Times New Roman"/>
      <family val="1"/>
    </font>
    <font>
      <sz val="10"/>
      <color indexed="8"/>
      <name val="Times New Roman"/>
      <family val="1"/>
    </font>
  </fonts>
  <fills count="5">
    <fill>
      <patternFill patternType="none"/>
    </fill>
    <fill>
      <patternFill patternType="gray125"/>
    </fill>
    <fill>
      <patternFill patternType="solid">
        <fgColor theme="3" tint="0.749992370372631"/>
        <bgColor indexed="64"/>
      </patternFill>
    </fill>
    <fill>
      <patternFill patternType="solid">
        <fgColor rgb="FFCC0000"/>
        <bgColor indexed="64"/>
      </patternFill>
    </fill>
    <fill>
      <patternFill patternType="solid">
        <fgColor indexed="9"/>
        <bgColor indexed="26"/>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s>
  <cellStyleXfs count="3">
    <xf numFmtId="0" fontId="0" fillId="0" borderId="0"/>
    <xf numFmtId="0" fontId="3" fillId="0" borderId="0" applyNumberFormat="0" applyFill="0" applyBorder="0" applyAlignment="0" applyProtection="0"/>
    <xf numFmtId="0" fontId="4" fillId="0" borderId="0"/>
  </cellStyleXfs>
  <cellXfs count="3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vertical="top" wrapText="1"/>
    </xf>
    <xf numFmtId="0" fontId="0" fillId="0" borderId="0" xfId="0" applyAlignment="1">
      <alignment horizontal="center" vertical="top"/>
    </xf>
    <xf numFmtId="0" fontId="0" fillId="0" borderId="1" xfId="0"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0" fontId="0" fillId="0" borderId="1" xfId="0" quotePrefix="1" applyBorder="1" applyAlignment="1">
      <alignment vertical="top" wrapText="1"/>
    </xf>
    <xf numFmtId="0" fontId="0" fillId="0" borderId="0" xfId="0" applyAlignment="1">
      <alignment horizontal="left"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0" fillId="0" borderId="4" xfId="0" applyBorder="1" applyAlignment="1">
      <alignment horizontal="left" vertical="top" wrapText="1"/>
    </xf>
    <xf numFmtId="0" fontId="0" fillId="0" borderId="0" xfId="0" applyAlignment="1">
      <alignment vertical="top"/>
    </xf>
    <xf numFmtId="0" fontId="0" fillId="3" borderId="1" xfId="0" applyFill="1"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horizontal="left" vertical="top"/>
    </xf>
    <xf numFmtId="0" fontId="3" fillId="0" borderId="1" xfId="1" applyBorder="1" applyAlignment="1">
      <alignment vertical="top" wrapText="1"/>
    </xf>
    <xf numFmtId="0" fontId="0" fillId="0" borderId="0" xfId="0" applyAlignment="1">
      <alignment horizontal="left" vertical="top"/>
    </xf>
    <xf numFmtId="0" fontId="6" fillId="4" borderId="3" xfId="2" applyFont="1" applyFill="1" applyBorder="1" applyAlignment="1">
      <alignment horizontal="center" vertical="top" wrapText="1"/>
    </xf>
    <xf numFmtId="0" fontId="7" fillId="4" borderId="2" xfId="0" applyFont="1" applyFill="1" applyBorder="1" applyAlignment="1">
      <alignment horizontal="center" vertical="top" wrapText="1"/>
    </xf>
    <xf numFmtId="0" fontId="5" fillId="4" borderId="3" xfId="2" applyFont="1" applyFill="1" applyBorder="1" applyAlignment="1">
      <alignment horizontal="center" vertical="top" wrapText="1"/>
    </xf>
    <xf numFmtId="0" fontId="1" fillId="2" borderId="1" xfId="0" applyFont="1" applyFill="1" applyBorder="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6" fillId="4" borderId="2" xfId="0" applyFont="1" applyFill="1" applyBorder="1" applyAlignment="1">
      <alignment horizontal="center" vertical="top" wrapText="1"/>
    </xf>
    <xf numFmtId="0" fontId="6" fillId="4" borderId="3"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5" fillId="4" borderId="2" xfId="2" applyFont="1" applyFill="1" applyBorder="1" applyAlignment="1">
      <alignment horizontal="left" vertical="top" wrapText="1"/>
    </xf>
    <xf numFmtId="0" fontId="5" fillId="4" borderId="3" xfId="2" applyFont="1" applyFill="1" applyBorder="1" applyAlignment="1">
      <alignment horizontal="left" vertical="top" wrapText="1"/>
    </xf>
    <xf numFmtId="0" fontId="5" fillId="4" borderId="1" xfId="2" applyFont="1" applyFill="1" applyBorder="1" applyAlignment="1">
      <alignment horizontal="left" vertical="top" wrapText="1"/>
    </xf>
    <xf numFmtId="0" fontId="0" fillId="0" borderId="1" xfId="0" applyBorder="1" applyAlignment="1">
      <alignment horizontal="left" vertical="top" wrapText="1"/>
    </xf>
  </cellXfs>
  <cellStyles count="3">
    <cellStyle name="Hyperlink" xfId="1" builtinId="8"/>
    <cellStyle name="Normal" xfId="0" builtinId="0"/>
    <cellStyle name="Normal_Sheet1" xfId="2" xr:uid="{1C641A73-6FD6-4DF5-B94B-4E2C32F52629}"/>
  </cellStyles>
  <dxfs count="0"/>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68582</xdr:colOff>
      <xdr:row>4</xdr:row>
      <xdr:rowOff>38100</xdr:rowOff>
    </xdr:from>
    <xdr:to>
      <xdr:col>5</xdr:col>
      <xdr:colOff>1028894</xdr:colOff>
      <xdr:row>4</xdr:row>
      <xdr:rowOff>1775460</xdr:rowOff>
    </xdr:to>
    <xdr:pic>
      <xdr:nvPicPr>
        <xdr:cNvPr id="2" name="Picture 1">
          <a:extLst>
            <a:ext uri="{FF2B5EF4-FFF2-40B4-BE49-F238E27FC236}">
              <a16:creationId xmlns:a16="http://schemas.microsoft.com/office/drawing/2014/main" id="{4B430F2A-C63F-C355-081D-306621E671EC}"/>
            </a:ext>
          </a:extLst>
        </xdr:cNvPr>
        <xdr:cNvPicPr>
          <a:picLocks noChangeAspect="1"/>
        </xdr:cNvPicPr>
      </xdr:nvPicPr>
      <xdr:blipFill>
        <a:blip xmlns:r="http://schemas.openxmlformats.org/officeDocument/2006/relationships" r:embed="rId1"/>
        <a:stretch>
          <a:fillRect/>
        </a:stretch>
      </xdr:blipFill>
      <xdr:spPr>
        <a:xfrm>
          <a:off x="7216142" y="1135380"/>
          <a:ext cx="960312" cy="1737360"/>
        </a:xfrm>
        <a:prstGeom prst="rect">
          <a:avLst/>
        </a:prstGeom>
      </xdr:spPr>
    </xdr:pic>
    <xdr:clientData/>
  </xdr:twoCellAnchor>
  <xdr:twoCellAnchor editAs="oneCell">
    <xdr:from>
      <xdr:col>5</xdr:col>
      <xdr:colOff>83821</xdr:colOff>
      <xdr:row>5</xdr:row>
      <xdr:rowOff>7621</xdr:rowOff>
    </xdr:from>
    <xdr:to>
      <xdr:col>5</xdr:col>
      <xdr:colOff>1118726</xdr:colOff>
      <xdr:row>6</xdr:row>
      <xdr:rowOff>12700</xdr:rowOff>
    </xdr:to>
    <xdr:pic>
      <xdr:nvPicPr>
        <xdr:cNvPr id="3" name="Picture 2">
          <a:extLst>
            <a:ext uri="{FF2B5EF4-FFF2-40B4-BE49-F238E27FC236}">
              <a16:creationId xmlns:a16="http://schemas.microsoft.com/office/drawing/2014/main" id="{BEE694A4-14EB-9CEB-ECEB-7B44880CF624}"/>
            </a:ext>
          </a:extLst>
        </xdr:cNvPr>
        <xdr:cNvPicPr>
          <a:picLocks noChangeAspect="1"/>
        </xdr:cNvPicPr>
      </xdr:nvPicPr>
      <xdr:blipFill>
        <a:blip xmlns:r="http://schemas.openxmlformats.org/officeDocument/2006/relationships" r:embed="rId2"/>
        <a:stretch>
          <a:fillRect/>
        </a:stretch>
      </xdr:blipFill>
      <xdr:spPr>
        <a:xfrm>
          <a:off x="4274821" y="3271521"/>
          <a:ext cx="1034905" cy="18592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12EC-8C7C-450A-BBCE-377C7CD9A9D6}">
  <dimension ref="A1:F33"/>
  <sheetViews>
    <sheetView zoomScaleNormal="100" zoomScaleSheetLayoutView="100" workbookViewId="0">
      <selection activeCell="E31" sqref="E31"/>
    </sheetView>
  </sheetViews>
  <sheetFormatPr defaultRowHeight="14.4"/>
  <cols>
    <col min="1" max="1" width="6.44140625" style="13" customWidth="1"/>
    <col min="2" max="2" width="13.109375" style="3" customWidth="1"/>
    <col min="3" max="3" width="28.44140625" style="3" customWidth="1"/>
    <col min="4" max="4" width="18.5546875" style="3" customWidth="1"/>
    <col min="5" max="5" width="14.88671875" style="3" customWidth="1"/>
  </cols>
  <sheetData>
    <row r="1" spans="1:6">
      <c r="A1" s="26" t="s">
        <v>197</v>
      </c>
      <c r="B1" s="26"/>
      <c r="C1" s="26"/>
      <c r="D1" s="26"/>
      <c r="E1" s="26"/>
    </row>
    <row r="2" spans="1:6" ht="43.2" customHeight="1">
      <c r="A2" s="27" t="s">
        <v>229</v>
      </c>
      <c r="B2" s="27"/>
      <c r="C2" s="27"/>
      <c r="D2" s="27"/>
      <c r="E2" s="27"/>
    </row>
    <row r="3" spans="1:6">
      <c r="A3" s="11"/>
      <c r="B3" s="11"/>
      <c r="C3" s="11"/>
      <c r="D3" s="11"/>
      <c r="E3" s="11"/>
    </row>
    <row r="4" spans="1:6">
      <c r="A4" s="28" t="s">
        <v>230</v>
      </c>
      <c r="B4" s="28"/>
      <c r="C4" s="28"/>
      <c r="D4" s="28"/>
      <c r="E4" s="28"/>
    </row>
    <row r="5" spans="1:6">
      <c r="A5" s="14"/>
      <c r="B5" s="14"/>
      <c r="C5" s="14"/>
      <c r="D5" s="14"/>
      <c r="E5" s="14"/>
    </row>
    <row r="6" spans="1:6">
      <c r="A6" s="2" t="s">
        <v>0</v>
      </c>
      <c r="B6" s="2" t="s">
        <v>1</v>
      </c>
      <c r="C6" s="2" t="s">
        <v>2</v>
      </c>
      <c r="D6" s="2" t="s">
        <v>3</v>
      </c>
      <c r="E6" s="2" t="s">
        <v>4</v>
      </c>
    </row>
    <row r="7" spans="1:6">
      <c r="A7" s="25" t="s">
        <v>5</v>
      </c>
      <c r="B7" s="25"/>
      <c r="C7" s="25"/>
      <c r="D7" s="25"/>
      <c r="E7" s="25"/>
    </row>
    <row r="8" spans="1:6" ht="57.6">
      <c r="A8" s="12">
        <v>1</v>
      </c>
      <c r="B8" s="9" t="s">
        <v>13</v>
      </c>
      <c r="C8" s="9" t="s">
        <v>11</v>
      </c>
      <c r="D8" s="9" t="s">
        <v>12</v>
      </c>
      <c r="E8" s="9"/>
    </row>
    <row r="9" spans="1:6" ht="158.4">
      <c r="A9" s="12">
        <v>2</v>
      </c>
      <c r="B9" s="9" t="s">
        <v>18</v>
      </c>
      <c r="C9" s="9" t="s">
        <v>207</v>
      </c>
      <c r="D9" s="10" t="s">
        <v>19</v>
      </c>
      <c r="E9" s="10" t="s">
        <v>22</v>
      </c>
      <c r="F9" s="1"/>
    </row>
    <row r="10" spans="1:6" ht="57.6">
      <c r="A10" s="12">
        <v>3</v>
      </c>
      <c r="B10" s="9" t="s">
        <v>7</v>
      </c>
      <c r="C10" s="9" t="s">
        <v>8</v>
      </c>
      <c r="D10" s="10" t="s">
        <v>9</v>
      </c>
      <c r="E10" s="9" t="s">
        <v>30</v>
      </c>
    </row>
    <row r="11" spans="1:6" ht="115.2">
      <c r="A11" s="12">
        <v>4</v>
      </c>
      <c r="B11" s="9" t="s">
        <v>6</v>
      </c>
      <c r="C11" s="9" t="s">
        <v>213</v>
      </c>
      <c r="D11" s="10" t="s">
        <v>31</v>
      </c>
      <c r="E11" s="9" t="s">
        <v>30</v>
      </c>
    </row>
    <row r="12" spans="1:6" ht="100.8">
      <c r="A12" s="12">
        <v>5</v>
      </c>
      <c r="B12" s="9" t="s">
        <v>20</v>
      </c>
      <c r="C12" s="9" t="s">
        <v>208</v>
      </c>
      <c r="D12" s="10" t="s">
        <v>10</v>
      </c>
      <c r="E12" s="10" t="s">
        <v>21</v>
      </c>
    </row>
    <row r="13" spans="1:6" ht="144">
      <c r="A13" s="12">
        <v>6</v>
      </c>
      <c r="B13" s="9" t="s">
        <v>14</v>
      </c>
      <c r="C13" s="9" t="s">
        <v>212</v>
      </c>
      <c r="D13" s="9" t="s">
        <v>15</v>
      </c>
      <c r="E13" s="9" t="s">
        <v>30</v>
      </c>
    </row>
    <row r="14" spans="1:6" ht="72">
      <c r="A14" s="12">
        <v>7</v>
      </c>
      <c r="B14" s="9" t="s">
        <v>24</v>
      </c>
      <c r="C14" s="9" t="s">
        <v>53</v>
      </c>
      <c r="D14" s="9" t="s">
        <v>25</v>
      </c>
      <c r="E14" s="9" t="s">
        <v>30</v>
      </c>
    </row>
    <row r="15" spans="1:6" ht="86.4">
      <c r="A15" s="12">
        <v>8</v>
      </c>
      <c r="B15" s="9" t="s">
        <v>165</v>
      </c>
      <c r="C15" s="9" t="s">
        <v>214</v>
      </c>
      <c r="D15" s="9" t="s">
        <v>47</v>
      </c>
      <c r="E15" s="9"/>
    </row>
    <row r="16" spans="1:6" ht="100.8">
      <c r="A16" s="12">
        <v>9</v>
      </c>
      <c r="B16" s="9" t="s">
        <v>16</v>
      </c>
      <c r="C16" s="9" t="s">
        <v>54</v>
      </c>
      <c r="D16" s="9" t="s">
        <v>17</v>
      </c>
      <c r="E16" s="9" t="s">
        <v>30</v>
      </c>
    </row>
    <row r="17" spans="1:6">
      <c r="A17" s="25" t="s">
        <v>23</v>
      </c>
      <c r="B17" s="25"/>
      <c r="C17" s="25"/>
      <c r="D17" s="25"/>
      <c r="E17" s="25"/>
    </row>
    <row r="18" spans="1:6" ht="86.4">
      <c r="A18" s="12">
        <v>10</v>
      </c>
      <c r="B18" s="9" t="s">
        <v>39</v>
      </c>
      <c r="C18" s="9" t="s">
        <v>40</v>
      </c>
      <c r="D18" s="10" t="s">
        <v>41</v>
      </c>
      <c r="E18" s="9" t="s">
        <v>42</v>
      </c>
    </row>
    <row r="19" spans="1:6" ht="129.6">
      <c r="A19" s="12">
        <v>11</v>
      </c>
      <c r="B19" s="9" t="s">
        <v>27</v>
      </c>
      <c r="C19" s="9" t="s">
        <v>28</v>
      </c>
      <c r="D19" s="10" t="s">
        <v>29</v>
      </c>
      <c r="E19" s="9" t="s">
        <v>30</v>
      </c>
    </row>
    <row r="20" spans="1:6" ht="86.4">
      <c r="A20" s="12">
        <v>12</v>
      </c>
      <c r="B20" s="9" t="s">
        <v>38</v>
      </c>
      <c r="C20" s="9" t="s">
        <v>215</v>
      </c>
      <c r="D20" s="10" t="s">
        <v>37</v>
      </c>
      <c r="E20" s="9" t="s">
        <v>30</v>
      </c>
    </row>
    <row r="21" spans="1:6" ht="86.4">
      <c r="A21" s="12">
        <v>13</v>
      </c>
      <c r="B21" s="9" t="s">
        <v>26</v>
      </c>
      <c r="C21" s="9" t="s">
        <v>55</v>
      </c>
      <c r="D21" s="10" t="s">
        <v>32</v>
      </c>
      <c r="E21" s="9" t="s">
        <v>33</v>
      </c>
    </row>
    <row r="22" spans="1:6" ht="72">
      <c r="A22" s="12">
        <v>14</v>
      </c>
      <c r="B22" s="9" t="s">
        <v>34</v>
      </c>
      <c r="C22" s="9" t="s">
        <v>45</v>
      </c>
      <c r="D22" s="9" t="s">
        <v>35</v>
      </c>
      <c r="E22" s="9" t="s">
        <v>30</v>
      </c>
    </row>
    <row r="23" spans="1:6" ht="57.6">
      <c r="A23" s="12">
        <v>15</v>
      </c>
      <c r="B23" s="9" t="s">
        <v>46</v>
      </c>
      <c r="C23" s="9" t="s">
        <v>216</v>
      </c>
      <c r="D23" s="9" t="s">
        <v>97</v>
      </c>
      <c r="E23" s="9" t="s">
        <v>30</v>
      </c>
    </row>
    <row r="24" spans="1:6" ht="129.6">
      <c r="A24" s="12">
        <v>16</v>
      </c>
      <c r="B24" s="9" t="s">
        <v>43</v>
      </c>
      <c r="C24" s="9" t="s">
        <v>44</v>
      </c>
      <c r="D24" s="9" t="s">
        <v>47</v>
      </c>
      <c r="E24" s="10" t="s">
        <v>58</v>
      </c>
      <c r="F24" s="1"/>
    </row>
    <row r="25" spans="1:6" ht="72">
      <c r="A25" s="12">
        <v>17</v>
      </c>
      <c r="B25" s="9" t="s">
        <v>56</v>
      </c>
      <c r="C25" s="9" t="s">
        <v>120</v>
      </c>
      <c r="D25" s="9" t="s">
        <v>57</v>
      </c>
      <c r="E25" s="9" t="s">
        <v>30</v>
      </c>
    </row>
    <row r="26" spans="1:6">
      <c r="A26" s="25" t="s">
        <v>198</v>
      </c>
      <c r="B26" s="25"/>
      <c r="C26" s="25"/>
      <c r="D26" s="25"/>
      <c r="E26" s="25"/>
    </row>
    <row r="27" spans="1:6" ht="72">
      <c r="A27" s="12">
        <v>18</v>
      </c>
      <c r="B27" s="9" t="s">
        <v>199</v>
      </c>
      <c r="C27" s="9" t="s">
        <v>200</v>
      </c>
      <c r="D27" s="9" t="s">
        <v>12</v>
      </c>
      <c r="E27" s="9"/>
    </row>
    <row r="28" spans="1:6" ht="115.2">
      <c r="A28" s="12">
        <v>19</v>
      </c>
      <c r="B28" s="9" t="s">
        <v>201</v>
      </c>
      <c r="C28" s="9" t="s">
        <v>202</v>
      </c>
      <c r="D28" s="9" t="s">
        <v>221</v>
      </c>
      <c r="E28" s="9" t="s">
        <v>30</v>
      </c>
    </row>
    <row r="29" spans="1:6" ht="129.6">
      <c r="A29" s="12">
        <v>20</v>
      </c>
      <c r="B29" s="9" t="s">
        <v>203</v>
      </c>
      <c r="C29" s="9" t="s">
        <v>204</v>
      </c>
      <c r="D29" s="9" t="s">
        <v>222</v>
      </c>
      <c r="E29" s="9" t="s">
        <v>30</v>
      </c>
    </row>
    <row r="30" spans="1:6" ht="158.4">
      <c r="A30" s="12">
        <v>21</v>
      </c>
      <c r="B30" s="9" t="s">
        <v>205</v>
      </c>
      <c r="C30" s="9" t="s">
        <v>206</v>
      </c>
      <c r="D30" s="9" t="s">
        <v>223</v>
      </c>
      <c r="E30" s="9" t="s">
        <v>224</v>
      </c>
    </row>
    <row r="31" spans="1:6" ht="115.2">
      <c r="A31" s="12">
        <v>22</v>
      </c>
      <c r="B31" s="9" t="s">
        <v>217</v>
      </c>
      <c r="C31" s="9" t="s">
        <v>218</v>
      </c>
      <c r="D31" s="9" t="s">
        <v>97</v>
      </c>
      <c r="E31" s="9" t="s">
        <v>30</v>
      </c>
    </row>
    <row r="32" spans="1:6" ht="158.4">
      <c r="A32" s="12">
        <v>23</v>
      </c>
      <c r="B32" s="9" t="s">
        <v>219</v>
      </c>
      <c r="C32" s="9" t="s">
        <v>220</v>
      </c>
      <c r="D32" s="9" t="s">
        <v>225</v>
      </c>
      <c r="E32" s="9" t="s">
        <v>30</v>
      </c>
    </row>
    <row r="33" spans="1:5" ht="86.4">
      <c r="A33" s="12">
        <v>24</v>
      </c>
      <c r="B33" s="9" t="s">
        <v>226</v>
      </c>
      <c r="C33" s="9" t="s">
        <v>227</v>
      </c>
      <c r="D33" s="9" t="s">
        <v>228</v>
      </c>
      <c r="E33" s="9" t="s">
        <v>30</v>
      </c>
    </row>
  </sheetData>
  <mergeCells count="6">
    <mergeCell ref="A7:E7"/>
    <mergeCell ref="A17:E17"/>
    <mergeCell ref="A1:E1"/>
    <mergeCell ref="A26:E26"/>
    <mergeCell ref="A2:E2"/>
    <mergeCell ref="A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B745-E03E-4C2B-98D4-5AF87F485A04}">
  <dimension ref="A1:F6"/>
  <sheetViews>
    <sheetView view="pageBreakPreview" zoomScale="60" zoomScaleNormal="100" workbookViewId="0">
      <selection activeCell="D6" sqref="D6"/>
    </sheetView>
  </sheetViews>
  <sheetFormatPr defaultRowHeight="14.4"/>
  <cols>
    <col min="1" max="1" width="4.6640625" style="4" customWidth="1"/>
    <col min="2" max="2" width="10.33203125" style="3" customWidth="1"/>
    <col min="3" max="3" width="16.44140625" style="3" customWidth="1"/>
    <col min="4" max="4" width="17.21875" style="3" customWidth="1"/>
    <col min="5" max="5" width="12.44140625" style="3" customWidth="1"/>
    <col min="6" max="6" width="16.77734375" style="1" customWidth="1"/>
    <col min="7" max="7" width="0.88671875" customWidth="1"/>
  </cols>
  <sheetData>
    <row r="1" spans="1:6">
      <c r="A1" s="21" t="s">
        <v>231</v>
      </c>
    </row>
    <row r="3" spans="1:6">
      <c r="A3" s="7" t="s">
        <v>178</v>
      </c>
      <c r="B3" s="2" t="s">
        <v>179</v>
      </c>
      <c r="C3" s="2" t="s">
        <v>2</v>
      </c>
      <c r="D3" s="2" t="s">
        <v>4</v>
      </c>
      <c r="E3" s="2" t="s">
        <v>3</v>
      </c>
      <c r="F3" s="6" t="s">
        <v>180</v>
      </c>
    </row>
    <row r="4" spans="1:6" ht="100.8">
      <c r="A4" s="8">
        <v>1</v>
      </c>
      <c r="B4" s="9" t="s">
        <v>184</v>
      </c>
      <c r="C4" s="9" t="s">
        <v>181</v>
      </c>
      <c r="D4" s="10" t="s">
        <v>183</v>
      </c>
      <c r="E4" s="9" t="s">
        <v>182</v>
      </c>
      <c r="F4" s="5"/>
    </row>
    <row r="5" spans="1:6" ht="142.80000000000001" customHeight="1">
      <c r="A5" s="8">
        <v>2</v>
      </c>
      <c r="B5" s="9" t="s">
        <v>209</v>
      </c>
      <c r="C5" s="9" t="s">
        <v>185</v>
      </c>
      <c r="D5" s="10" t="s">
        <v>210</v>
      </c>
      <c r="E5" s="9" t="s">
        <v>211</v>
      </c>
      <c r="F5" s="5"/>
    </row>
    <row r="6" spans="1:6" ht="145.80000000000001" customHeight="1">
      <c r="A6" s="8">
        <v>3</v>
      </c>
      <c r="B6" s="9" t="s">
        <v>186</v>
      </c>
      <c r="C6" s="9" t="s">
        <v>187</v>
      </c>
      <c r="D6" s="9" t="s">
        <v>189</v>
      </c>
      <c r="E6" s="10" t="s">
        <v>96</v>
      </c>
      <c r="F6" s="5"/>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7F9C-EBF5-487A-A28F-5E0D266D6781}">
  <dimension ref="A1:H46"/>
  <sheetViews>
    <sheetView zoomScaleNormal="100" zoomScaleSheetLayoutView="155" workbookViewId="0">
      <selection activeCell="K16" sqref="K16"/>
    </sheetView>
  </sheetViews>
  <sheetFormatPr defaultRowHeight="14.4"/>
  <cols>
    <col min="1" max="1" width="7.21875" style="15" customWidth="1"/>
    <col min="2" max="2" width="9.88671875" style="15" customWidth="1"/>
    <col min="3" max="3" width="7.6640625" style="15" customWidth="1"/>
    <col min="4" max="4" width="11.77734375" style="15" customWidth="1"/>
    <col min="5" max="5" width="18.77734375" style="15" customWidth="1"/>
    <col min="6" max="6" width="5.77734375" style="15" customWidth="1"/>
    <col min="7" max="7" width="14.88671875" style="15" customWidth="1"/>
    <col min="8" max="8" width="6.109375" style="15" customWidth="1"/>
  </cols>
  <sheetData>
    <row r="1" spans="1:8">
      <c r="A1" s="15" t="s">
        <v>232</v>
      </c>
    </row>
    <row r="3" spans="1:8" ht="15.6" customHeight="1">
      <c r="A3" s="33" t="s">
        <v>193</v>
      </c>
      <c r="B3" s="34"/>
      <c r="C3" s="35" t="s">
        <v>196</v>
      </c>
      <c r="D3" s="35"/>
      <c r="E3" s="35"/>
    </row>
    <row r="4" spans="1:8" ht="15.6" customHeight="1">
      <c r="A4" s="29" t="s">
        <v>191</v>
      </c>
      <c r="B4" s="30"/>
      <c r="C4" s="22" t="s">
        <v>192</v>
      </c>
      <c r="D4" s="22" t="s">
        <v>194</v>
      </c>
      <c r="E4" s="22" t="s">
        <v>195</v>
      </c>
    </row>
    <row r="5" spans="1:8" ht="15.6" customHeight="1">
      <c r="A5" s="31">
        <f>COUNTIF(H9:H96,"Pass")</f>
        <v>28</v>
      </c>
      <c r="B5" s="32"/>
      <c r="C5" s="23">
        <f>COUNTIF(H9:H96,"Fail")</f>
        <v>3</v>
      </c>
      <c r="D5" s="23">
        <f>COUNTIF(H9:H96,"Pending")</f>
        <v>0</v>
      </c>
      <c r="E5" s="24">
        <f>A5+C5+D5</f>
        <v>31</v>
      </c>
    </row>
    <row r="6" spans="1:8" ht="15.6" customHeight="1"/>
    <row r="7" spans="1:8" s="1" customFormat="1" ht="43.2">
      <c r="A7" s="2" t="s">
        <v>59</v>
      </c>
      <c r="B7" s="2" t="s">
        <v>60</v>
      </c>
      <c r="C7" s="2" t="s">
        <v>63</v>
      </c>
      <c r="D7" s="2" t="s">
        <v>61</v>
      </c>
      <c r="E7" s="2" t="s">
        <v>2</v>
      </c>
      <c r="F7" s="2" t="s">
        <v>116</v>
      </c>
      <c r="G7" s="2" t="s">
        <v>62</v>
      </c>
      <c r="H7" s="2" t="s">
        <v>190</v>
      </c>
    </row>
    <row r="8" spans="1:8">
      <c r="A8" s="25" t="s">
        <v>23</v>
      </c>
      <c r="B8" s="25"/>
      <c r="C8" s="25"/>
      <c r="D8" s="25"/>
      <c r="E8" s="25"/>
      <c r="F8" s="25"/>
      <c r="G8" s="25"/>
      <c r="H8" s="25"/>
    </row>
    <row r="9" spans="1:8" ht="100.8">
      <c r="A9" s="9" t="s">
        <v>64</v>
      </c>
      <c r="B9" s="9" t="s">
        <v>89</v>
      </c>
      <c r="C9" s="9"/>
      <c r="D9" s="9" t="s">
        <v>85</v>
      </c>
      <c r="E9" s="9" t="s">
        <v>92</v>
      </c>
      <c r="F9" s="9"/>
      <c r="G9" s="10" t="s">
        <v>41</v>
      </c>
      <c r="H9" s="9" t="s">
        <v>191</v>
      </c>
    </row>
    <row r="10" spans="1:8" ht="86.4">
      <c r="A10" s="9" t="s">
        <v>66</v>
      </c>
      <c r="B10" s="9" t="s">
        <v>65</v>
      </c>
      <c r="C10" s="9"/>
      <c r="D10" s="9" t="s">
        <v>85</v>
      </c>
      <c r="E10" s="9" t="s">
        <v>93</v>
      </c>
      <c r="F10" s="9"/>
      <c r="G10" s="9" t="s">
        <v>86</v>
      </c>
      <c r="H10" s="9" t="s">
        <v>191</v>
      </c>
    </row>
    <row r="11" spans="1:8" ht="100.8">
      <c r="A11" s="9" t="s">
        <v>68</v>
      </c>
      <c r="B11" s="9" t="s">
        <v>67</v>
      </c>
      <c r="C11" s="9"/>
      <c r="D11" s="9" t="s">
        <v>87</v>
      </c>
      <c r="E11" s="9" t="s">
        <v>109</v>
      </c>
      <c r="F11" s="9"/>
      <c r="G11" s="9" t="s">
        <v>90</v>
      </c>
      <c r="H11" s="9" t="s">
        <v>191</v>
      </c>
    </row>
    <row r="12" spans="1:8" ht="172.8">
      <c r="A12" s="9" t="s">
        <v>69</v>
      </c>
      <c r="B12" s="9" t="s">
        <v>107</v>
      </c>
      <c r="C12" s="9"/>
      <c r="D12" s="9" t="s">
        <v>85</v>
      </c>
      <c r="E12" s="9" t="s">
        <v>108</v>
      </c>
      <c r="F12" s="9"/>
      <c r="G12" s="10" t="s">
        <v>110</v>
      </c>
      <c r="H12" s="9" t="s">
        <v>191</v>
      </c>
    </row>
    <row r="13" spans="1:8" ht="72">
      <c r="A13" s="9" t="s">
        <v>71</v>
      </c>
      <c r="B13" s="9" t="s">
        <v>38</v>
      </c>
      <c r="C13" s="9"/>
      <c r="D13" s="9" t="s">
        <v>85</v>
      </c>
      <c r="E13" s="9" t="s">
        <v>36</v>
      </c>
      <c r="F13" s="9"/>
      <c r="G13" s="10" t="s">
        <v>37</v>
      </c>
      <c r="H13" s="9" t="s">
        <v>191</v>
      </c>
    </row>
    <row r="14" spans="1:8" ht="86.4">
      <c r="A14" s="9" t="s">
        <v>73</v>
      </c>
      <c r="B14" s="9" t="s">
        <v>91</v>
      </c>
      <c r="C14" s="9"/>
      <c r="D14" s="9" t="s">
        <v>85</v>
      </c>
      <c r="E14" s="9" t="s">
        <v>99</v>
      </c>
      <c r="F14" s="9"/>
      <c r="G14" s="10" t="s">
        <v>32</v>
      </c>
      <c r="H14" s="9" t="s">
        <v>191</v>
      </c>
    </row>
    <row r="15" spans="1:8" ht="115.2">
      <c r="A15" s="9" t="s">
        <v>74</v>
      </c>
      <c r="B15" s="9" t="s">
        <v>70</v>
      </c>
      <c r="C15" s="9"/>
      <c r="D15" s="9" t="s">
        <v>85</v>
      </c>
      <c r="E15" s="9" t="s">
        <v>102</v>
      </c>
      <c r="F15" s="9"/>
      <c r="G15" s="9" t="s">
        <v>97</v>
      </c>
      <c r="H15" s="9" t="s">
        <v>191</v>
      </c>
    </row>
    <row r="16" spans="1:8" ht="129.6">
      <c r="A16" s="9" t="s">
        <v>75</v>
      </c>
      <c r="B16" s="9" t="s">
        <v>100</v>
      </c>
      <c r="C16" s="9"/>
      <c r="D16" s="9" t="s">
        <v>85</v>
      </c>
      <c r="E16" s="9" t="s">
        <v>103</v>
      </c>
      <c r="F16" s="9"/>
      <c r="G16" s="9" t="s">
        <v>48</v>
      </c>
      <c r="H16" s="9" t="s">
        <v>191</v>
      </c>
    </row>
    <row r="17" spans="1:8" ht="115.2">
      <c r="A17" s="9" t="s">
        <v>76</v>
      </c>
      <c r="B17" s="9" t="s">
        <v>101</v>
      </c>
      <c r="C17" s="9"/>
      <c r="D17" s="9" t="s">
        <v>85</v>
      </c>
      <c r="E17" s="9" t="s">
        <v>104</v>
      </c>
      <c r="F17" s="9"/>
      <c r="G17" s="9" t="s">
        <v>49</v>
      </c>
      <c r="H17" s="9" t="s">
        <v>191</v>
      </c>
    </row>
    <row r="18" spans="1:8" ht="72">
      <c r="A18" s="9" t="s">
        <v>77</v>
      </c>
      <c r="B18" s="9" t="s">
        <v>80</v>
      </c>
      <c r="C18" s="9"/>
      <c r="D18" s="9" t="s">
        <v>114</v>
      </c>
      <c r="E18" s="9" t="s">
        <v>112</v>
      </c>
      <c r="F18" s="9"/>
      <c r="G18" s="9" t="s">
        <v>98</v>
      </c>
      <c r="H18" s="9" t="s">
        <v>191</v>
      </c>
    </row>
    <row r="19" spans="1:8" ht="86.4">
      <c r="A19" s="9" t="s">
        <v>78</v>
      </c>
      <c r="B19" s="9" t="s">
        <v>84</v>
      </c>
      <c r="C19" s="9"/>
      <c r="D19" s="9" t="s">
        <v>114</v>
      </c>
      <c r="E19" s="9" t="s">
        <v>106</v>
      </c>
      <c r="F19" s="9"/>
      <c r="G19" s="9" t="s">
        <v>105</v>
      </c>
      <c r="H19" s="9" t="s">
        <v>191</v>
      </c>
    </row>
    <row r="20" spans="1:8" ht="115.2">
      <c r="A20" s="9" t="s">
        <v>79</v>
      </c>
      <c r="B20" s="9" t="s">
        <v>111</v>
      </c>
      <c r="C20" s="9"/>
      <c r="D20" s="9" t="s">
        <v>114</v>
      </c>
      <c r="E20" s="9" t="s">
        <v>113</v>
      </c>
      <c r="F20" s="9" t="s">
        <v>117</v>
      </c>
      <c r="G20" s="9" t="s">
        <v>35</v>
      </c>
      <c r="H20" s="9" t="s">
        <v>191</v>
      </c>
    </row>
    <row r="21" spans="1:8" ht="129.6">
      <c r="A21" s="9" t="s">
        <v>81</v>
      </c>
      <c r="B21" s="9" t="s">
        <v>115</v>
      </c>
      <c r="C21" s="9"/>
      <c r="D21" s="9" t="s">
        <v>114</v>
      </c>
      <c r="E21" s="9" t="s">
        <v>119</v>
      </c>
      <c r="F21" s="9" t="s">
        <v>118</v>
      </c>
      <c r="G21" s="9" t="s">
        <v>57</v>
      </c>
      <c r="H21" s="9" t="s">
        <v>191</v>
      </c>
    </row>
    <row r="22" spans="1:8" ht="115.2">
      <c r="A22" s="9" t="s">
        <v>82</v>
      </c>
      <c r="B22" s="9" t="s">
        <v>72</v>
      </c>
      <c r="C22" s="9"/>
      <c r="D22" s="9" t="s">
        <v>114</v>
      </c>
      <c r="E22" s="9" t="s">
        <v>88</v>
      </c>
      <c r="F22" s="9"/>
      <c r="G22" s="9" t="s">
        <v>47</v>
      </c>
      <c r="H22" s="9" t="s">
        <v>191</v>
      </c>
    </row>
    <row r="23" spans="1:8" ht="129.6">
      <c r="A23" s="9" t="s">
        <v>83</v>
      </c>
      <c r="B23" s="9" t="s">
        <v>94</v>
      </c>
      <c r="C23" s="9"/>
      <c r="D23" s="9" t="s">
        <v>114</v>
      </c>
      <c r="E23" s="9" t="s">
        <v>95</v>
      </c>
      <c r="F23" s="9"/>
      <c r="G23" s="10" t="s">
        <v>188</v>
      </c>
      <c r="H23" s="16" t="s">
        <v>192</v>
      </c>
    </row>
    <row r="24" spans="1:8" ht="43.2">
      <c r="A24" s="17" t="s">
        <v>5</v>
      </c>
      <c r="B24" s="17"/>
      <c r="C24" s="17"/>
      <c r="D24" s="17"/>
      <c r="E24" s="17"/>
      <c r="F24" s="17"/>
      <c r="G24" s="17"/>
      <c r="H24" s="17"/>
    </row>
    <row r="25" spans="1:8" ht="86.4">
      <c r="A25" s="9" t="s">
        <v>121</v>
      </c>
      <c r="B25" s="9" t="s">
        <v>13</v>
      </c>
      <c r="C25" s="9"/>
      <c r="D25" s="18"/>
      <c r="E25" s="9" t="s">
        <v>135</v>
      </c>
      <c r="F25" s="18"/>
      <c r="G25" s="9" t="s">
        <v>12</v>
      </c>
      <c r="H25" s="9" t="s">
        <v>191</v>
      </c>
    </row>
    <row r="26" spans="1:8" ht="72">
      <c r="A26" s="9" t="s">
        <v>122</v>
      </c>
      <c r="B26" s="36" t="s">
        <v>18</v>
      </c>
      <c r="C26" s="9" t="s">
        <v>139</v>
      </c>
      <c r="D26" s="9" t="s">
        <v>136</v>
      </c>
      <c r="E26" s="9" t="s">
        <v>137</v>
      </c>
      <c r="F26" s="9" t="s">
        <v>159</v>
      </c>
      <c r="G26" s="10" t="s">
        <v>138</v>
      </c>
      <c r="H26" s="9" t="s">
        <v>191</v>
      </c>
    </row>
    <row r="27" spans="1:8" ht="72">
      <c r="A27" s="9" t="s">
        <v>123</v>
      </c>
      <c r="B27" s="36"/>
      <c r="C27" s="9" t="s">
        <v>140</v>
      </c>
      <c r="D27" s="9" t="s">
        <v>136</v>
      </c>
      <c r="E27" s="9" t="s">
        <v>141</v>
      </c>
      <c r="F27" s="9" t="s">
        <v>160</v>
      </c>
      <c r="G27" s="10" t="s">
        <v>142</v>
      </c>
      <c r="H27" s="9" t="s">
        <v>191</v>
      </c>
    </row>
    <row r="28" spans="1:8" ht="72">
      <c r="A28" s="9" t="s">
        <v>124</v>
      </c>
      <c r="B28" s="36"/>
      <c r="C28" s="9" t="s">
        <v>143</v>
      </c>
      <c r="D28" s="9" t="s">
        <v>136</v>
      </c>
      <c r="E28" s="9" t="s">
        <v>144</v>
      </c>
      <c r="F28" s="19">
        <v>123</v>
      </c>
      <c r="G28" s="10" t="s">
        <v>145</v>
      </c>
      <c r="H28" s="9" t="s">
        <v>191</v>
      </c>
    </row>
    <row r="29" spans="1:8" ht="72">
      <c r="A29" s="9" t="s">
        <v>125</v>
      </c>
      <c r="B29" s="36"/>
      <c r="C29" s="9" t="s">
        <v>146</v>
      </c>
      <c r="D29" s="9" t="s">
        <v>136</v>
      </c>
      <c r="E29" s="9" t="s">
        <v>147</v>
      </c>
      <c r="F29" s="20" t="s">
        <v>161</v>
      </c>
      <c r="G29" s="10" t="s">
        <v>148</v>
      </c>
      <c r="H29" s="9" t="s">
        <v>191</v>
      </c>
    </row>
    <row r="30" spans="1:8" ht="57.6">
      <c r="A30" s="9" t="s">
        <v>126</v>
      </c>
      <c r="B30" s="36"/>
      <c r="C30" s="9" t="s">
        <v>149</v>
      </c>
      <c r="D30" s="9" t="s">
        <v>136</v>
      </c>
      <c r="E30" s="9" t="s">
        <v>150</v>
      </c>
      <c r="F30" s="18"/>
      <c r="G30" s="10" t="s">
        <v>151</v>
      </c>
      <c r="H30" s="9" t="s">
        <v>191</v>
      </c>
    </row>
    <row r="31" spans="1:8" ht="72">
      <c r="A31" s="9" t="s">
        <v>127</v>
      </c>
      <c r="B31" s="36"/>
      <c r="C31" s="9" t="s">
        <v>152</v>
      </c>
      <c r="D31" s="9" t="s">
        <v>136</v>
      </c>
      <c r="E31" s="9" t="s">
        <v>153</v>
      </c>
      <c r="F31" s="18"/>
      <c r="G31" s="10" t="s">
        <v>154</v>
      </c>
      <c r="H31" s="9" t="s">
        <v>191</v>
      </c>
    </row>
    <row r="32" spans="1:8" ht="57.6">
      <c r="A32" s="9" t="s">
        <v>128</v>
      </c>
      <c r="B32" s="36"/>
      <c r="C32" s="18" t="s">
        <v>155</v>
      </c>
      <c r="D32" s="9" t="s">
        <v>136</v>
      </c>
      <c r="E32" s="9" t="s">
        <v>156</v>
      </c>
      <c r="F32" s="9" t="s">
        <v>162</v>
      </c>
      <c r="G32" s="10" t="s">
        <v>157</v>
      </c>
      <c r="H32" s="9" t="s">
        <v>191</v>
      </c>
    </row>
    <row r="33" spans="1:8" ht="57.6">
      <c r="A33" s="9" t="s">
        <v>129</v>
      </c>
      <c r="B33" s="36"/>
      <c r="C33" s="18" t="s">
        <v>158</v>
      </c>
      <c r="D33" s="9" t="s">
        <v>136</v>
      </c>
      <c r="E33" s="9" t="s">
        <v>163</v>
      </c>
      <c r="F33" s="9" t="s">
        <v>162</v>
      </c>
      <c r="G33" s="10" t="s">
        <v>164</v>
      </c>
      <c r="H33" s="16" t="s">
        <v>192</v>
      </c>
    </row>
    <row r="34" spans="1:8" ht="57.6">
      <c r="A34" s="9" t="s">
        <v>130</v>
      </c>
      <c r="B34" s="9" t="s">
        <v>167</v>
      </c>
      <c r="C34" s="18"/>
      <c r="D34" s="9" t="s">
        <v>136</v>
      </c>
      <c r="E34" s="9" t="s">
        <v>168</v>
      </c>
      <c r="F34" s="18"/>
      <c r="G34" s="10" t="s">
        <v>9</v>
      </c>
      <c r="H34" s="9" t="s">
        <v>191</v>
      </c>
    </row>
    <row r="35" spans="1:8" ht="144">
      <c r="A35" s="9" t="s">
        <v>131</v>
      </c>
      <c r="B35" s="9" t="s">
        <v>170</v>
      </c>
      <c r="C35" s="18"/>
      <c r="D35" s="9" t="s">
        <v>136</v>
      </c>
      <c r="E35" s="9" t="s">
        <v>50</v>
      </c>
      <c r="F35" s="9" t="s">
        <v>169</v>
      </c>
      <c r="G35" s="10" t="s">
        <v>31</v>
      </c>
      <c r="H35" s="16" t="s">
        <v>192</v>
      </c>
    </row>
    <row r="36" spans="1:8" ht="115.2">
      <c r="A36" s="9" t="s">
        <v>132</v>
      </c>
      <c r="B36" s="9" t="s">
        <v>171</v>
      </c>
      <c r="C36" s="18"/>
      <c r="D36" s="9" t="s">
        <v>136</v>
      </c>
      <c r="E36" s="9" t="s">
        <v>51</v>
      </c>
      <c r="F36" s="18"/>
      <c r="G36" s="10" t="s">
        <v>10</v>
      </c>
      <c r="H36" s="9" t="s">
        <v>191</v>
      </c>
    </row>
    <row r="37" spans="1:8" ht="187.2">
      <c r="A37" s="9" t="s">
        <v>133</v>
      </c>
      <c r="B37" s="9" t="s">
        <v>172</v>
      </c>
      <c r="C37" s="18"/>
      <c r="D37" s="9" t="s">
        <v>136</v>
      </c>
      <c r="E37" s="9" t="s">
        <v>52</v>
      </c>
      <c r="F37" s="18"/>
      <c r="G37" s="9" t="s">
        <v>15</v>
      </c>
      <c r="H37" s="9" t="s">
        <v>191</v>
      </c>
    </row>
    <row r="38" spans="1:8" ht="100.8">
      <c r="A38" s="9" t="s">
        <v>134</v>
      </c>
      <c r="B38" s="9" t="s">
        <v>173</v>
      </c>
      <c r="C38" s="18"/>
      <c r="D38" s="9" t="s">
        <v>136</v>
      </c>
      <c r="E38" s="9" t="s">
        <v>53</v>
      </c>
      <c r="F38" s="18"/>
      <c r="G38" s="9" t="s">
        <v>25</v>
      </c>
      <c r="H38" s="9" t="s">
        <v>191</v>
      </c>
    </row>
    <row r="39" spans="1:8" ht="115.2">
      <c r="A39" s="9" t="s">
        <v>176</v>
      </c>
      <c r="B39" s="9" t="s">
        <v>174</v>
      </c>
      <c r="C39" s="18"/>
      <c r="D39" s="9" t="s">
        <v>136</v>
      </c>
      <c r="E39" s="9" t="s">
        <v>166</v>
      </c>
      <c r="F39" s="18"/>
      <c r="G39" s="9" t="s">
        <v>47</v>
      </c>
      <c r="H39" s="9" t="s">
        <v>191</v>
      </c>
    </row>
    <row r="40" spans="1:8" ht="129.6">
      <c r="A40" s="9" t="s">
        <v>177</v>
      </c>
      <c r="B40" s="9" t="s">
        <v>175</v>
      </c>
      <c r="C40" s="18"/>
      <c r="D40" s="9" t="s">
        <v>136</v>
      </c>
      <c r="E40" s="9" t="s">
        <v>54</v>
      </c>
      <c r="F40" s="18"/>
      <c r="G40" s="9" t="s">
        <v>17</v>
      </c>
      <c r="H40" s="9" t="s">
        <v>191</v>
      </c>
    </row>
    <row r="41" spans="1:8">
      <c r="B41" s="3"/>
    </row>
    <row r="42" spans="1:8">
      <c r="B42" s="3"/>
    </row>
    <row r="43" spans="1:8">
      <c r="B43" s="3"/>
    </row>
    <row r="44" spans="1:8">
      <c r="B44" s="3"/>
    </row>
    <row r="45" spans="1:8">
      <c r="B45" s="3"/>
    </row>
    <row r="46" spans="1:8">
      <c r="B46" s="3"/>
    </row>
  </sheetData>
  <mergeCells count="6">
    <mergeCell ref="A4:B4"/>
    <mergeCell ref="A5:B5"/>
    <mergeCell ref="A3:B3"/>
    <mergeCell ref="C3:E3"/>
    <mergeCell ref="B26:B33"/>
    <mergeCell ref="A8:H8"/>
  </mergeCells>
  <phoneticPr fontId="2" type="noConversion"/>
  <hyperlinks>
    <hyperlink ref="F29" r:id="rId1" display="!@#" xr:uid="{AE8DA35D-B6DC-4F86-BC67-BEA3C0CEF582}"/>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2212-89CC-439B-A3DF-CC030FCA4C1E}">
  <dimension ref="A1:A2"/>
  <sheetViews>
    <sheetView tabSelected="1" workbookViewId="0">
      <selection activeCell="E3" sqref="E3"/>
    </sheetView>
  </sheetViews>
  <sheetFormatPr defaultRowHeight="14.4"/>
  <cols>
    <col min="1" max="1" width="76.77734375" customWidth="1"/>
  </cols>
  <sheetData>
    <row r="1" spans="1:1">
      <c r="A1" t="s">
        <v>233</v>
      </c>
    </row>
    <row r="2" spans="1:1" ht="158.4">
      <c r="A2" s="1"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Scenerio</vt:lpstr>
      <vt:lpstr>Bug</vt:lpstr>
      <vt:lpstr>Test case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Hằng Thanh</dc:creator>
  <cp:lastModifiedBy>Hằng Thanh</cp:lastModifiedBy>
  <cp:lastPrinted>2025-09-09T19:11:05Z</cp:lastPrinted>
  <dcterms:created xsi:type="dcterms:W3CDTF">2025-09-07T15:10:35Z</dcterms:created>
  <dcterms:modified xsi:type="dcterms:W3CDTF">2025-09-10T16:32:29Z</dcterms:modified>
</cp:coreProperties>
</file>